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sdiemert/Dropbox/MSC/TA/CSC105-S2016/CSC105/Excel Project/"/>
    </mc:Choice>
  </mc:AlternateContent>
  <bookViews>
    <workbookView xWindow="11200" yWindow="460" windowWidth="28800" windowHeight="17460" tabRatio="500" activeTab="2"/>
  </bookViews>
  <sheets>
    <sheet name="Hours" sheetId="1" r:id="rId1"/>
    <sheet name="Invoice" sheetId="3" r:id="rId2"/>
    <sheet name="Projects" sheetId="2" r:id="rId3"/>
    <sheet name="Client" sheetId="5" r:id="rId4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2" l="1"/>
  <c r="H2" i="2"/>
  <c r="D4" i="2"/>
  <c r="D3" i="2"/>
  <c r="D2" i="2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E3" i="1"/>
  <c r="F3" i="1"/>
  <c r="E4" i="1"/>
  <c r="F4" i="1"/>
  <c r="E5" i="1"/>
  <c r="F5" i="1"/>
  <c r="E6" i="1"/>
  <c r="F6" i="1"/>
  <c r="E2" i="1"/>
  <c r="F2" i="1"/>
  <c r="G3" i="1"/>
  <c r="G4" i="1"/>
  <c r="G5" i="1"/>
  <c r="G6" i="1"/>
  <c r="G2" i="1"/>
  <c r="E5" i="3"/>
  <c r="F27" i="3"/>
  <c r="G3" i="2"/>
  <c r="H3" i="2"/>
  <c r="G4" i="2"/>
  <c r="H4" i="2"/>
  <c r="D2" i="1"/>
  <c r="H2" i="1"/>
  <c r="D3" i="1"/>
  <c r="H3" i="1"/>
  <c r="D4" i="1"/>
  <c r="H4" i="1"/>
  <c r="D5" i="1"/>
  <c r="H5" i="1"/>
  <c r="D6" i="1"/>
  <c r="H6" i="1"/>
</calcChain>
</file>

<file path=xl/sharedStrings.xml><?xml version="1.0" encoding="utf-8"?>
<sst xmlns="http://schemas.openxmlformats.org/spreadsheetml/2006/main" count="57" uniqueCount="42">
  <si>
    <t>Date</t>
  </si>
  <si>
    <t>Hours</t>
  </si>
  <si>
    <t>Rate</t>
  </si>
  <si>
    <t>Amount</t>
  </si>
  <si>
    <t>Description</t>
  </si>
  <si>
    <t>Project ID</t>
  </si>
  <si>
    <t>Project Name</t>
  </si>
  <si>
    <t>Hours Total</t>
  </si>
  <si>
    <t>Hours Estimated</t>
  </si>
  <si>
    <t>Acme Consulting</t>
  </si>
  <si>
    <t>Project proposal</t>
  </si>
  <si>
    <t xml:space="preserve">Project Alpha </t>
  </si>
  <si>
    <t>Project Beta</t>
  </si>
  <si>
    <t>Project Gamma</t>
  </si>
  <si>
    <t>Team Meeting</t>
  </si>
  <si>
    <t>Task Grapefruit</t>
  </si>
  <si>
    <t>Task Apple</t>
  </si>
  <si>
    <t>Task Banana</t>
  </si>
  <si>
    <t>Task Mango</t>
  </si>
  <si>
    <t>Task Grapes</t>
  </si>
  <si>
    <t>% Complete</t>
  </si>
  <si>
    <t>INVOICE</t>
  </si>
  <si>
    <t>DESCRIPTION</t>
  </si>
  <si>
    <t>HOURS</t>
  </si>
  <si>
    <t>RATE</t>
  </si>
  <si>
    <t>AMOUNT</t>
  </si>
  <si>
    <t>SUBTOTAL</t>
  </si>
  <si>
    <t>GST</t>
  </si>
  <si>
    <t>OTHER</t>
  </si>
  <si>
    <t>TOTAL</t>
  </si>
  <si>
    <t>Client Name</t>
  </si>
  <si>
    <t>Client ID</t>
  </si>
  <si>
    <t>Alpha Client</t>
  </si>
  <si>
    <t>Beta Client</t>
  </si>
  <si>
    <t>Start Date</t>
  </si>
  <si>
    <t>End Date</t>
  </si>
  <si>
    <t>Nice message to your clients!</t>
  </si>
  <si>
    <t>ACME Address Line 1</t>
  </si>
  <si>
    <t>ACME Address Line 2</t>
  </si>
  <si>
    <t>invoice@acme.com</t>
  </si>
  <si>
    <t>ACME Phone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</si>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</sst>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@\ \ "/>
  </numFmts>
  <fonts count="21" x14ac:knownFonts="1"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Arial"/>
    </font>
    <font>
      <b/>
      <sz val="14"/>
      <name val="Arial"/>
    </font>
    <font>
      <sz val="24"/>
      <color theme="1" tint="0.499984740745262"/>
      <name val="Calibri Light"/>
      <family val="2"/>
      <scheme val="major"/>
    </font>
    <font>
      <sz val="14"/>
      <name val="Arial"/>
    </font>
    <font>
      <sz val="14"/>
      <name val="Calibri"/>
      <scheme val="minor"/>
    </font>
    <font>
      <sz val="14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rgb="FF808080"/>
      <name val="Calibri"/>
      <scheme val="minor"/>
    </font>
    <font>
      <i/>
      <sz val="14"/>
      <name val="Calibri"/>
      <family val="2"/>
      <scheme val="minor"/>
    </font>
    <font>
      <b/>
      <sz val="14"/>
      <name val="Calibri Light"/>
      <scheme val="major"/>
    </font>
    <font>
      <sz val="14"/>
      <name val="Calibri Light"/>
      <scheme val="major"/>
    </font>
    <font>
      <b/>
      <i/>
      <sz val="14"/>
      <color theme="1" tint="0.499984740745262"/>
      <name val="Calibri Light"/>
      <family val="2"/>
      <scheme val="major"/>
    </font>
    <font>
      <b/>
      <i/>
      <sz val="14"/>
      <name val="Arial"/>
      <family val="2"/>
    </font>
    <font>
      <b/>
      <i/>
      <sz val="14"/>
      <name val="Calibri Light"/>
      <family val="2"/>
      <scheme val="major"/>
    </font>
    <font>
      <b/>
      <sz val="14"/>
      <name val="Calibri"/>
      <family val="2"/>
      <scheme val="minor"/>
    </font>
    <font>
      <b/>
      <sz val="20"/>
      <name val="Arial"/>
    </font>
    <font>
      <sz val="20"/>
      <name val="Arial"/>
    </font>
    <font>
      <u/>
      <sz val="14"/>
      <color theme="1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horizontal="left" indent="1"/>
    </xf>
    <xf numFmtId="0" fontId="4" fillId="0" borderId="0" xfId="0" applyFont="1" applyAlignment="1"/>
    <xf numFmtId="0" fontId="5" fillId="5" borderId="0" xfId="0" applyFont="1" applyFill="1" applyAlignment="1">
      <alignment horizontal="right" vertical="center"/>
    </xf>
    <xf numFmtId="0" fontId="7" fillId="5" borderId="0" xfId="0" applyFont="1" applyFill="1" applyAlignment="1">
      <alignment vertical="center"/>
    </xf>
    <xf numFmtId="0" fontId="8" fillId="0" borderId="0" xfId="0" applyFont="1"/>
    <xf numFmtId="0" fontId="6" fillId="5" borderId="0" xfId="0" applyFont="1" applyFill="1"/>
    <xf numFmtId="0" fontId="9" fillId="5" borderId="0" xfId="0" applyFont="1" applyFill="1"/>
    <xf numFmtId="0" fontId="7" fillId="5" borderId="0" xfId="0" applyFont="1" applyFill="1"/>
    <xf numFmtId="0" fontId="10" fillId="5" borderId="0" xfId="0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 wrapText="1"/>
    </xf>
    <xf numFmtId="0" fontId="8" fillId="5" borderId="0" xfId="0" applyFont="1" applyFill="1" applyBorder="1"/>
    <xf numFmtId="0" fontId="7" fillId="5" borderId="0" xfId="0" applyFont="1" applyFill="1" applyBorder="1"/>
    <xf numFmtId="0" fontId="8" fillId="5" borderId="0" xfId="0" applyFont="1" applyFill="1" applyBorder="1" applyAlignment="1">
      <alignment vertical="center"/>
    </xf>
    <xf numFmtId="0" fontId="11" fillId="5" borderId="0" xfId="0" applyFont="1" applyFill="1"/>
    <xf numFmtId="0" fontId="7" fillId="5" borderId="0" xfId="0" applyFont="1" applyFill="1" applyBorder="1" applyAlignment="1">
      <alignment horizontal="left"/>
    </xf>
    <xf numFmtId="0" fontId="12" fillId="3" borderId="1" xfId="0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right"/>
    </xf>
    <xf numFmtId="0" fontId="7" fillId="5" borderId="0" xfId="0" applyFont="1" applyFill="1" applyAlignment="1"/>
    <xf numFmtId="165" fontId="14" fillId="0" borderId="0" xfId="0" applyNumberFormat="1" applyFont="1" applyBorder="1" applyAlignment="1">
      <alignment horizontal="right"/>
    </xf>
    <xf numFmtId="165" fontId="14" fillId="0" borderId="2" xfId="0" applyNumberFormat="1" applyFont="1" applyBorder="1" applyAlignment="1">
      <alignment horizontal="right"/>
    </xf>
    <xf numFmtId="10" fontId="7" fillId="0" borderId="1" xfId="0" applyNumberFormat="1" applyFont="1" applyBorder="1" applyAlignment="1">
      <alignment horizontal="right"/>
    </xf>
    <xf numFmtId="0" fontId="7" fillId="0" borderId="0" xfId="0" applyFont="1" applyAlignment="1"/>
    <xf numFmtId="43" fontId="7" fillId="0" borderId="1" xfId="0" applyNumberFormat="1" applyFont="1" applyBorder="1" applyAlignment="1">
      <alignment horizontal="right"/>
    </xf>
    <xf numFmtId="0" fontId="15" fillId="5" borderId="0" xfId="0" applyFont="1" applyFill="1" applyAlignment="1">
      <alignment horizontal="left" readingOrder="1"/>
    </xf>
    <xf numFmtId="0" fontId="7" fillId="5" borderId="0" xfId="0" applyFont="1" applyFill="1" applyBorder="1" applyAlignment="1">
      <alignment wrapText="1" shrinkToFit="1"/>
    </xf>
    <xf numFmtId="165" fontId="16" fillId="0" borderId="3" xfId="0" applyNumberFormat="1" applyFont="1" applyBorder="1" applyAlignment="1">
      <alignment horizontal="right"/>
    </xf>
    <xf numFmtId="165" fontId="16" fillId="0" borderId="4" xfId="0" applyNumberFormat="1" applyFont="1" applyBorder="1" applyAlignment="1">
      <alignment horizontal="right"/>
    </xf>
    <xf numFmtId="44" fontId="17" fillId="4" borderId="5" xfId="0" applyNumberFormat="1" applyFont="1" applyFill="1" applyBorder="1" applyAlignment="1">
      <alignment horizontal="right"/>
    </xf>
    <xf numFmtId="0" fontId="17" fillId="5" borderId="0" xfId="0" applyFont="1" applyFill="1" applyAlignment="1">
      <alignment horizontal="center"/>
    </xf>
    <xf numFmtId="0" fontId="7" fillId="0" borderId="0" xfId="0" applyFont="1"/>
    <xf numFmtId="0" fontId="6" fillId="0" borderId="0" xfId="0" applyFont="1"/>
    <xf numFmtId="10" fontId="0" fillId="2" borderId="0" xfId="1" applyNumberFormat="1" applyFont="1" applyFill="1"/>
    <xf numFmtId="0" fontId="2" fillId="2" borderId="6" xfId="0" applyFont="1" applyFill="1" applyBorder="1"/>
    <xf numFmtId="0" fontId="2" fillId="6" borderId="6" xfId="0" applyFont="1" applyFill="1" applyBorder="1"/>
    <xf numFmtId="0" fontId="0" fillId="6" borderId="0" xfId="0" applyFill="1"/>
    <xf numFmtId="0" fontId="2" fillId="2" borderId="6" xfId="0" applyFont="1" applyFill="1" applyBorder="1" applyAlignment="1">
      <alignment horizontal="left"/>
    </xf>
    <xf numFmtId="0" fontId="0" fillId="6" borderId="0" xfId="0" applyFill="1" applyAlignment="1">
      <alignment horizontal="left" indent="1"/>
    </xf>
    <xf numFmtId="14" fontId="0" fillId="6" borderId="0" xfId="0" applyNumberFormat="1" applyFill="1"/>
    <xf numFmtId="2" fontId="0" fillId="6" borderId="0" xfId="0" applyNumberFormat="1" applyFill="1"/>
    <xf numFmtId="0" fontId="20" fillId="5" borderId="0" xfId="2" applyFont="1" applyFill="1"/>
    <xf numFmtId="44" fontId="8" fillId="0" borderId="0" xfId="0" applyNumberFormat="1" applyFont="1"/>
    <xf numFmtId="0" fontId="7" fillId="0" borderId="0" xfId="0" applyFont="1" applyAlignment="1">
      <alignment horizontal="right" indent="1"/>
    </xf>
    <xf numFmtId="44" fontId="7" fillId="4" borderId="8" xfId="0" applyNumberFormat="1" applyFont="1" applyFill="1" applyBorder="1" applyAlignment="1">
      <alignment horizontal="right"/>
    </xf>
    <xf numFmtId="0" fontId="0" fillId="0" borderId="6" xfId="0" applyBorder="1"/>
    <xf numFmtId="2" fontId="7" fillId="0" borderId="5" xfId="0" applyNumberFormat="1" applyFont="1" applyBorder="1" applyAlignment="1">
      <alignment horizontal="right"/>
    </xf>
    <xf numFmtId="0" fontId="0" fillId="0" borderId="6" xfId="0" applyBorder="1"/>
    <xf numFmtId="0" fontId="6" fillId="5" borderId="0" xfId="0" applyFont="1" applyFill="1" applyBorder="1" applyAlignment="1">
      <alignment wrapText="1" shrinkToFit="1"/>
    </xf>
    <xf numFmtId="0" fontId="6" fillId="5" borderId="0" xfId="0" applyFont="1" applyFill="1" applyAlignment="1"/>
    <xf numFmtId="0" fontId="4" fillId="0" borderId="0" xfId="0" applyFont="1" applyAlignment="1">
      <alignment horizontal="left"/>
    </xf>
    <xf numFmtId="0" fontId="0" fillId="0" borderId="0" xfId="0"/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left" indent="1"/>
    </xf>
    <xf numFmtId="10" fontId="0" fillId="2" borderId="0" xfId="1" applyNumberFormat="1" applyFont="1" applyFill="1" applyAlignment="1">
      <alignment horizontal="right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invoice@ac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3"/>
  <sheetViews>
    <sheetView workbookViewId="0">
      <selection activeCell="B2" sqref="B2"/>
    </sheetView>
  </sheetViews>
  <sheetFormatPr baseColWidth="10" defaultRowHeight="21" x14ac:dyDescent="0.25"/>
  <cols>
    <col min="1" max="1" width="12" customWidth="1"/>
    <col min="4" max="4" width="14.5" bestFit="1" customWidth="1"/>
    <col min="5" max="5" width="10.625" customWidth="1"/>
    <col min="6" max="6" width="17.375" customWidth="1"/>
    <col min="7" max="7" width="7" customWidth="1"/>
    <col min="9" max="9" width="31.875" customWidth="1"/>
  </cols>
  <sheetData>
    <row r="1" spans="1:9" x14ac:dyDescent="0.25">
      <c r="A1" s="37" t="s">
        <v>0</v>
      </c>
      <c r="B1" s="37" t="s">
        <v>1</v>
      </c>
      <c r="C1" s="37" t="s">
        <v>5</v>
      </c>
      <c r="D1" s="36" t="s">
        <v>6</v>
      </c>
      <c r="E1" s="36" t="s">
        <v>31</v>
      </c>
      <c r="F1" s="36" t="s">
        <v>30</v>
      </c>
      <c r="G1" s="36" t="s">
        <v>2</v>
      </c>
      <c r="H1" s="36" t="s">
        <v>3</v>
      </c>
      <c r="I1" s="37" t="s">
        <v>4</v>
      </c>
    </row>
    <row r="2" spans="1:9" x14ac:dyDescent="0.25">
      <c r="A2" s="41">
        <v>42371</v>
      </c>
      <c r="B2" s="42">
        <v>2</v>
      </c>
      <c r="C2" s="38">
        <v>1</v>
      </c>
      <c r="D2" s="3" t="str">
        <f>VLOOKUP(C2,Projects!A$2:$G$10, 2)</f>
        <v xml:space="preserve">Project Alpha </v>
      </c>
      <c r="E2" s="1">
        <f>VLOOKUP(C2,Projects!$A$2:$H$4,3)</f>
        <v>1</v>
      </c>
      <c r="F2" s="3" t="str">
        <f>VLOOKUP(E2,Client!A:B,2)</f>
        <v>Alpha Client</v>
      </c>
      <c r="G2" s="2">
        <f>VLOOKUP(C2,Projects!$A$2:$G$10, 5)</f>
        <v>25</v>
      </c>
      <c r="H2" s="2">
        <f>G2*B2</f>
        <v>50</v>
      </c>
      <c r="I2" s="40" t="s">
        <v>10</v>
      </c>
    </row>
    <row r="3" spans="1:9" x14ac:dyDescent="0.25">
      <c r="A3" s="41">
        <v>42372</v>
      </c>
      <c r="B3" s="42">
        <v>4</v>
      </c>
      <c r="C3" s="38">
        <v>1</v>
      </c>
      <c r="D3" s="3" t="str">
        <f>VLOOKUP(C3,Projects!A$2:$G$10, 2)</f>
        <v xml:space="preserve">Project Alpha </v>
      </c>
      <c r="E3" s="1">
        <f>VLOOKUP(C3,Projects!$A$2:$H$4,3)</f>
        <v>1</v>
      </c>
      <c r="F3" s="3" t="str">
        <f>VLOOKUP(E3,Client!A:B,2)</f>
        <v>Alpha Client</v>
      </c>
      <c r="G3" s="2">
        <f>VLOOKUP(C3,Projects!$A$2:$G$10, 5)</f>
        <v>25</v>
      </c>
      <c r="H3" s="2">
        <f t="shared" ref="H3:H13" si="0">G3*B3</f>
        <v>100</v>
      </c>
      <c r="I3" s="40" t="s">
        <v>18</v>
      </c>
    </row>
    <row r="4" spans="1:9" x14ac:dyDescent="0.25">
      <c r="A4" s="41">
        <v>42373</v>
      </c>
      <c r="B4" s="42">
        <v>5</v>
      </c>
      <c r="C4" s="38">
        <v>1</v>
      </c>
      <c r="D4" s="3" t="str">
        <f>VLOOKUP(C4,Projects!A$2:$G$10, 2)</f>
        <v xml:space="preserve">Project Alpha </v>
      </c>
      <c r="E4" s="1">
        <f>VLOOKUP(C4,Projects!$A$2:$H$4,3)</f>
        <v>1</v>
      </c>
      <c r="F4" s="3" t="str">
        <f>VLOOKUP(E4,Client!A:B,2)</f>
        <v>Alpha Client</v>
      </c>
      <c r="G4" s="2">
        <f>VLOOKUP(C4,Projects!$A$2:$G$10, 5)</f>
        <v>25</v>
      </c>
      <c r="H4" s="2">
        <f t="shared" si="0"/>
        <v>125</v>
      </c>
      <c r="I4" s="40" t="s">
        <v>19</v>
      </c>
    </row>
    <row r="5" spans="1:9" x14ac:dyDescent="0.25">
      <c r="A5" s="41">
        <v>42373</v>
      </c>
      <c r="B5" s="42">
        <v>2</v>
      </c>
      <c r="C5" s="38">
        <v>3</v>
      </c>
      <c r="D5" s="3" t="str">
        <f>VLOOKUP(C5,Projects!A$2:$G$10, 2)</f>
        <v>Project Gamma</v>
      </c>
      <c r="E5" s="1">
        <f>VLOOKUP(C5,Projects!$A$2:$H$4,3)</f>
        <v>3</v>
      </c>
      <c r="F5" s="3" t="str">
        <f>VLOOKUP(E5,Client!A:B,2)</f>
        <v>Beta Client</v>
      </c>
      <c r="G5" s="2">
        <f>VLOOKUP(C5,Projects!$A$2:$G$10, 5)</f>
        <v>40</v>
      </c>
      <c r="H5" s="2">
        <f t="shared" si="0"/>
        <v>80</v>
      </c>
      <c r="I5" s="40" t="s">
        <v>14</v>
      </c>
    </row>
    <row r="6" spans="1:9" x14ac:dyDescent="0.25">
      <c r="A6" s="41">
        <v>42374</v>
      </c>
      <c r="B6" s="42">
        <v>2</v>
      </c>
      <c r="C6" s="38">
        <v>2</v>
      </c>
      <c r="D6" s="3" t="str">
        <f>VLOOKUP(C6,Projects!A$2:$G$10, 2)</f>
        <v>Project Beta</v>
      </c>
      <c r="E6" s="1">
        <f>VLOOKUP(C6,Projects!$A$2:$H$4,3)</f>
        <v>2</v>
      </c>
      <c r="F6" s="3" t="str">
        <f>VLOOKUP(E6,Client!A:B,2)</f>
        <v>Beta Client</v>
      </c>
      <c r="G6" s="2">
        <f>VLOOKUP(C6,Projects!$A$2:$G$10, 5)</f>
        <v>30</v>
      </c>
      <c r="H6" s="2">
        <f t="shared" si="0"/>
        <v>60</v>
      </c>
      <c r="I6" s="40" t="s">
        <v>14</v>
      </c>
    </row>
    <row r="7" spans="1:9" x14ac:dyDescent="0.25">
      <c r="A7" s="59"/>
      <c r="B7" s="60"/>
      <c r="C7" s="61"/>
      <c r="D7" s="62"/>
      <c r="E7" s="61"/>
      <c r="F7" s="62"/>
      <c r="G7" s="60"/>
      <c r="H7" s="60"/>
      <c r="I7" s="62"/>
    </row>
    <row r="8" spans="1:9" x14ac:dyDescent="0.25">
      <c r="A8" s="59"/>
      <c r="B8" s="60"/>
      <c r="C8" s="61"/>
      <c r="D8" s="62"/>
      <c r="E8" s="61"/>
      <c r="F8" s="62"/>
      <c r="G8" s="60"/>
      <c r="H8" s="60"/>
      <c r="I8" s="62"/>
    </row>
    <row r="9" spans="1:9" x14ac:dyDescent="0.25">
      <c r="A9" s="59"/>
      <c r="B9" s="60"/>
      <c r="C9" s="61"/>
      <c r="D9" s="62"/>
      <c r="E9" s="61"/>
      <c r="F9" s="62"/>
      <c r="G9" s="60"/>
      <c r="H9" s="60"/>
      <c r="I9" s="62"/>
    </row>
    <row r="10" spans="1:9" x14ac:dyDescent="0.25">
      <c r="A10" s="59"/>
      <c r="B10" s="60"/>
      <c r="C10" s="61"/>
      <c r="D10" s="62"/>
      <c r="E10" s="61"/>
      <c r="F10" s="62"/>
      <c r="G10" s="60"/>
      <c r="H10" s="60"/>
      <c r="I10" s="62"/>
    </row>
    <row r="11" spans="1:9" x14ac:dyDescent="0.25">
      <c r="A11" s="59"/>
      <c r="B11" s="60"/>
      <c r="C11" s="61"/>
      <c r="D11" s="62"/>
      <c r="E11" s="61"/>
      <c r="F11" s="62"/>
      <c r="G11" s="60"/>
      <c r="H11" s="60"/>
      <c r="I11" s="62"/>
    </row>
    <row r="12" spans="1:9" x14ac:dyDescent="0.25">
      <c r="A12" s="59"/>
      <c r="B12" s="60"/>
      <c r="C12" s="61"/>
      <c r="D12" s="62"/>
      <c r="E12" s="61"/>
      <c r="F12" s="62"/>
      <c r="G12" s="60"/>
      <c r="H12" s="60"/>
      <c r="I12" s="62"/>
    </row>
    <row r="13" spans="1:9" x14ac:dyDescent="0.25">
      <c r="A13" s="59"/>
      <c r="B13" s="60"/>
      <c r="C13" s="61"/>
      <c r="D13" s="62"/>
      <c r="E13" s="61"/>
      <c r="F13" s="62"/>
      <c r="G13" s="60"/>
      <c r="H13" s="60"/>
      <c r="I13" s="62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38"/>
  <sheetViews>
    <sheetView workbookViewId="0">
      <selection activeCell="E5" sqref="E5"/>
    </sheetView>
  </sheetViews>
  <sheetFormatPr baseColWidth="10" defaultRowHeight="19" x14ac:dyDescent="0.25"/>
  <cols>
    <col min="1" max="1" width="10.625" style="7"/>
    <col min="2" max="2" width="20.5" style="7" customWidth="1"/>
    <col min="3" max="3" width="10.625" style="7"/>
    <col min="4" max="4" width="13.875" style="7" customWidth="1"/>
    <col min="5" max="5" width="12.875" style="7" bestFit="1" customWidth="1"/>
    <col min="6" max="6" width="10.75" style="7" bestFit="1" customWidth="1"/>
    <col min="7" max="16384" width="10.625" style="7"/>
  </cols>
  <sheetData>
    <row r="1" spans="1:6" ht="31" x14ac:dyDescent="0.25">
      <c r="A1" s="54" t="s">
        <v>9</v>
      </c>
      <c r="B1" s="55"/>
      <c r="C1" s="6"/>
      <c r="D1" s="6"/>
      <c r="E1" s="6"/>
      <c r="F1" s="5" t="s">
        <v>21</v>
      </c>
    </row>
    <row r="2" spans="1:6" x14ac:dyDescent="0.25">
      <c r="A2" s="8" t="s">
        <v>37</v>
      </c>
      <c r="B2" s="9"/>
      <c r="C2" s="10"/>
      <c r="D2" s="11" t="s">
        <v>34</v>
      </c>
      <c r="E2" s="12">
        <v>42370</v>
      </c>
      <c r="F2" s="10"/>
    </row>
    <row r="3" spans="1:6" x14ac:dyDescent="0.25">
      <c r="A3" s="8" t="s">
        <v>38</v>
      </c>
      <c r="B3" s="10"/>
      <c r="C3" s="10"/>
      <c r="D3" s="11" t="s">
        <v>35</v>
      </c>
      <c r="E3" s="12">
        <v>42384</v>
      </c>
      <c r="F3" s="13"/>
    </row>
    <row r="4" spans="1:6" x14ac:dyDescent="0.25">
      <c r="A4" s="8" t="s">
        <v>40</v>
      </c>
      <c r="B4" s="10"/>
      <c r="C4" s="10"/>
      <c r="D4" s="11" t="s">
        <v>31</v>
      </c>
      <c r="E4" s="13">
        <v>2</v>
      </c>
      <c r="F4" s="14"/>
    </row>
    <row r="5" spans="1:6" x14ac:dyDescent="0.25">
      <c r="A5" s="43" t="s">
        <v>39</v>
      </c>
      <c r="B5" s="10"/>
      <c r="C5" s="15"/>
      <c r="D5" s="11" t="s">
        <v>30</v>
      </c>
      <c r="E5" s="16" t="str">
        <f>VLOOKUP(E4, Client!A:B,2)</f>
        <v>Beta Client</v>
      </c>
      <c r="F5" s="14"/>
    </row>
    <row r="6" spans="1:6" x14ac:dyDescent="0.25">
      <c r="A6" s="10"/>
      <c r="B6" s="10"/>
      <c r="C6" s="17"/>
      <c r="D6" s="18"/>
      <c r="E6" s="18"/>
      <c r="F6" s="10"/>
    </row>
    <row r="7" spans="1:6" x14ac:dyDescent="0.25">
      <c r="A7" s="56" t="s">
        <v>22</v>
      </c>
      <c r="B7" s="56"/>
      <c r="C7" s="57"/>
      <c r="D7" s="19" t="s">
        <v>23</v>
      </c>
      <c r="E7" s="19" t="s">
        <v>24</v>
      </c>
      <c r="F7" s="19" t="s">
        <v>25</v>
      </c>
    </row>
    <row r="8" spans="1:6" ht="21" x14ac:dyDescent="0.25">
      <c r="A8" s="58" t="s">
        <v>14</v>
      </c>
      <c r="B8" s="58"/>
      <c r="C8" s="58"/>
      <c r="D8">
        <v>2</v>
      </c>
      <c r="E8">
        <v>40</v>
      </c>
      <c r="F8" s="20">
        <f>IF(D8&lt;&gt;"",E8*D8,"")</f>
        <v>80</v>
      </c>
    </row>
    <row r="9" spans="1:6" ht="21" x14ac:dyDescent="0.25">
      <c r="A9" s="53" t="s">
        <v>14</v>
      </c>
      <c r="B9" s="53"/>
      <c r="C9" s="53"/>
      <c r="D9">
        <v>2</v>
      </c>
      <c r="E9">
        <v>30</v>
      </c>
      <c r="F9" s="20">
        <f t="shared" ref="F9:F23" si="0">IF(D9&lt;&gt;"",E9*D9,"")</f>
        <v>60</v>
      </c>
    </row>
    <row r="10" spans="1:6" ht="21" x14ac:dyDescent="0.25">
      <c r="A10" s="53" t="s">
        <v>16</v>
      </c>
      <c r="B10" s="53"/>
      <c r="C10" s="53"/>
      <c r="D10">
        <v>4</v>
      </c>
      <c r="E10">
        <v>40</v>
      </c>
      <c r="F10" s="20">
        <f t="shared" si="0"/>
        <v>160</v>
      </c>
    </row>
    <row r="11" spans="1:6" ht="21" x14ac:dyDescent="0.25">
      <c r="A11" s="53" t="s">
        <v>17</v>
      </c>
      <c r="B11" s="53"/>
      <c r="C11" s="53"/>
      <c r="D11">
        <v>6</v>
      </c>
      <c r="E11">
        <v>40</v>
      </c>
      <c r="F11" s="20">
        <f t="shared" si="0"/>
        <v>240</v>
      </c>
    </row>
    <row r="12" spans="1:6" ht="21" x14ac:dyDescent="0.25">
      <c r="A12" s="53" t="s">
        <v>14</v>
      </c>
      <c r="B12" s="53"/>
      <c r="C12" s="53"/>
      <c r="D12">
        <v>4</v>
      </c>
      <c r="E12">
        <v>40</v>
      </c>
      <c r="F12" s="20">
        <f t="shared" si="0"/>
        <v>160</v>
      </c>
    </row>
    <row r="13" spans="1:6" ht="21" x14ac:dyDescent="0.25">
      <c r="A13" s="53" t="s">
        <v>14</v>
      </c>
      <c r="B13" s="53"/>
      <c r="C13" s="53"/>
      <c r="D13">
        <v>2</v>
      </c>
      <c r="E13">
        <v>30</v>
      </c>
      <c r="F13" s="20">
        <f t="shared" si="0"/>
        <v>60</v>
      </c>
    </row>
    <row r="14" spans="1:6" ht="21" x14ac:dyDescent="0.25">
      <c r="A14" s="53" t="s">
        <v>15</v>
      </c>
      <c r="B14" s="53"/>
      <c r="C14" s="53"/>
      <c r="D14">
        <v>4</v>
      </c>
      <c r="E14">
        <v>40</v>
      </c>
      <c r="F14" s="20">
        <f t="shared" si="0"/>
        <v>160</v>
      </c>
    </row>
    <row r="15" spans="1:6" ht="21" x14ac:dyDescent="0.25">
      <c r="A15" s="53"/>
      <c r="B15" s="53"/>
      <c r="C15" s="53"/>
      <c r="D15"/>
      <c r="E15"/>
      <c r="F15" s="20" t="str">
        <f t="shared" si="0"/>
        <v/>
      </c>
    </row>
    <row r="16" spans="1:6" ht="21" x14ac:dyDescent="0.25">
      <c r="A16" s="53"/>
      <c r="B16" s="53"/>
      <c r="C16" s="53"/>
      <c r="D16"/>
      <c r="E16"/>
      <c r="F16" s="20" t="str">
        <f t="shared" si="0"/>
        <v/>
      </c>
    </row>
    <row r="17" spans="1:6" ht="21" x14ac:dyDescent="0.25">
      <c r="A17" s="53"/>
      <c r="B17" s="53"/>
      <c r="C17" s="53"/>
      <c r="D17"/>
      <c r="E17"/>
      <c r="F17" s="20" t="str">
        <f t="shared" si="0"/>
        <v/>
      </c>
    </row>
    <row r="18" spans="1:6" ht="21" x14ac:dyDescent="0.25">
      <c r="A18" s="53"/>
      <c r="B18" s="53"/>
      <c r="C18" s="53"/>
      <c r="D18"/>
      <c r="E18"/>
      <c r="F18" s="20" t="str">
        <f t="shared" si="0"/>
        <v/>
      </c>
    </row>
    <row r="19" spans="1:6" ht="21" x14ac:dyDescent="0.25">
      <c r="A19" s="53"/>
      <c r="B19" s="53"/>
      <c r="C19" s="53"/>
      <c r="D19"/>
      <c r="E19"/>
      <c r="F19" s="20" t="str">
        <f t="shared" si="0"/>
        <v/>
      </c>
    </row>
    <row r="20" spans="1:6" ht="21" x14ac:dyDescent="0.25">
      <c r="A20" s="53"/>
      <c r="B20" s="53"/>
      <c r="C20" s="53"/>
      <c r="D20"/>
      <c r="E20"/>
      <c r="F20" s="20" t="str">
        <f t="shared" si="0"/>
        <v/>
      </c>
    </row>
    <row r="21" spans="1:6" ht="21" x14ac:dyDescent="0.25">
      <c r="A21" s="53"/>
      <c r="B21" s="53"/>
      <c r="C21" s="53"/>
      <c r="D21"/>
      <c r="E21"/>
      <c r="F21" s="20" t="str">
        <f t="shared" si="0"/>
        <v/>
      </c>
    </row>
    <row r="22" spans="1:6" ht="21" x14ac:dyDescent="0.25">
      <c r="A22" s="53"/>
      <c r="B22" s="53"/>
      <c r="C22" s="53"/>
      <c r="D22"/>
      <c r="E22"/>
      <c r="F22" s="20" t="str">
        <f t="shared" si="0"/>
        <v/>
      </c>
    </row>
    <row r="23" spans="1:6" ht="21" x14ac:dyDescent="0.25">
      <c r="A23" s="49"/>
      <c r="B23" s="49"/>
      <c r="C23" s="49"/>
      <c r="D23" s="47"/>
      <c r="E23" s="47"/>
      <c r="F23" s="48" t="str">
        <f t="shared" si="0"/>
        <v/>
      </c>
    </row>
    <row r="24" spans="1:6" x14ac:dyDescent="0.25">
      <c r="A24" s="18"/>
      <c r="B24" s="18"/>
      <c r="C24" s="21"/>
      <c r="D24" s="23" t="s">
        <v>26</v>
      </c>
      <c r="E24" s="22" t="s">
        <v>41</v>
      </c>
      <c r="F24" s="46">
        <f>SUM(F8:F23)</f>
        <v>920</v>
      </c>
    </row>
    <row r="25" spans="1:6" x14ac:dyDescent="0.25">
      <c r="A25" s="50" t="s">
        <v>36</v>
      </c>
      <c r="B25" s="51"/>
      <c r="C25" s="21"/>
      <c r="D25" s="23" t="s">
        <v>27</v>
      </c>
      <c r="E25" s="24">
        <v>0.05</v>
      </c>
      <c r="F25" s="44">
        <f>F24*E25</f>
        <v>46</v>
      </c>
    </row>
    <row r="26" spans="1:6" x14ac:dyDescent="0.25">
      <c r="A26" s="51"/>
      <c r="B26" s="51"/>
      <c r="C26" s="21"/>
      <c r="D26" s="23" t="s">
        <v>28</v>
      </c>
      <c r="E26" s="45" t="s">
        <v>41</v>
      </c>
      <c r="F26" s="26">
        <v>0</v>
      </c>
    </row>
    <row r="27" spans="1:6" x14ac:dyDescent="0.25">
      <c r="A27" s="27"/>
      <c r="B27" s="28"/>
      <c r="C27" s="21"/>
      <c r="D27" s="29" t="s">
        <v>29</v>
      </c>
      <c r="E27" s="30"/>
      <c r="F27" s="31">
        <f>F24+E25*F24+F26</f>
        <v>966</v>
      </c>
    </row>
    <row r="28" spans="1:6" x14ac:dyDescent="0.25">
      <c r="A28" s="10"/>
      <c r="B28" s="10"/>
      <c r="C28" s="10"/>
      <c r="D28" s="10"/>
      <c r="E28" s="10"/>
      <c r="F28" s="10"/>
    </row>
    <row r="29" spans="1:6" x14ac:dyDescent="0.25">
      <c r="A29" s="32"/>
      <c r="B29" s="32"/>
      <c r="C29" s="32"/>
      <c r="D29" s="32"/>
      <c r="E29" s="32"/>
      <c r="F29" s="21"/>
    </row>
    <row r="30" spans="1:6" x14ac:dyDescent="0.25">
      <c r="A30" s="52"/>
      <c r="B30" s="52"/>
      <c r="C30" s="52"/>
      <c r="D30" s="52"/>
      <c r="E30" s="52"/>
      <c r="F30" s="4"/>
    </row>
    <row r="31" spans="1:6" x14ac:dyDescent="0.25">
      <c r="A31" s="25"/>
      <c r="B31" s="25"/>
      <c r="C31" s="25"/>
      <c r="D31" s="25"/>
      <c r="E31" s="25"/>
      <c r="F31" s="33"/>
    </row>
    <row r="32" spans="1:6" x14ac:dyDescent="0.25">
      <c r="A32" s="25"/>
      <c r="B32" s="25"/>
      <c r="C32" s="25"/>
      <c r="D32" s="25"/>
      <c r="E32" s="25"/>
      <c r="F32" s="33"/>
    </row>
    <row r="33" spans="1:6" x14ac:dyDescent="0.25">
      <c r="A33" s="33"/>
      <c r="B33" s="33"/>
      <c r="C33" s="33"/>
      <c r="D33" s="33"/>
      <c r="E33" s="33"/>
      <c r="F33" s="33"/>
    </row>
    <row r="34" spans="1:6" x14ac:dyDescent="0.25">
      <c r="A34" s="33"/>
      <c r="B34" s="33"/>
      <c r="C34" s="33"/>
      <c r="D34" s="33"/>
      <c r="E34" s="33"/>
      <c r="F34" s="33"/>
    </row>
    <row r="35" spans="1:6" x14ac:dyDescent="0.25">
      <c r="A35" s="33"/>
      <c r="B35" s="33"/>
      <c r="C35" s="33"/>
      <c r="D35" s="33"/>
      <c r="E35" s="33"/>
      <c r="F35" s="33"/>
    </row>
    <row r="36" spans="1:6" x14ac:dyDescent="0.25">
      <c r="A36" s="33"/>
      <c r="B36" s="33"/>
      <c r="C36" s="33"/>
      <c r="D36" s="33"/>
      <c r="E36" s="33"/>
      <c r="F36" s="33"/>
    </row>
    <row r="37" spans="1:6" x14ac:dyDescent="0.25">
      <c r="A37" s="33"/>
      <c r="B37" s="33"/>
      <c r="C37" s="33"/>
      <c r="D37" s="34"/>
      <c r="E37" s="33"/>
      <c r="F37" s="33"/>
    </row>
    <row r="38" spans="1:6" x14ac:dyDescent="0.25">
      <c r="A38" s="33"/>
      <c r="B38" s="33"/>
      <c r="C38" s="33"/>
      <c r="D38" s="33"/>
      <c r="E38" s="33"/>
      <c r="F38" s="33"/>
    </row>
  </sheetData>
  <mergeCells count="20">
    <mergeCell ref="A16:C16"/>
    <mergeCell ref="A1:B1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23:C23"/>
    <mergeCell ref="A25:B26"/>
    <mergeCell ref="A30:E30"/>
    <mergeCell ref="A17:C17"/>
    <mergeCell ref="A18:C18"/>
    <mergeCell ref="A19:C19"/>
    <mergeCell ref="A20:C20"/>
    <mergeCell ref="A21:C21"/>
    <mergeCell ref="A22:C22"/>
  </mergeCells>
  <hyperlinks>
    <hyperlink ref="A5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4"/>
  <sheetViews>
    <sheetView tabSelected="1" workbookViewId="0">
      <selection activeCell="G2" sqref="G2"/>
    </sheetView>
  </sheetViews>
  <sheetFormatPr baseColWidth="10" defaultRowHeight="21" x14ac:dyDescent="0.25"/>
  <cols>
    <col min="2" max="2" width="14.875" bestFit="1" customWidth="1"/>
    <col min="3" max="3" width="11.125" customWidth="1"/>
    <col min="4" max="4" width="12.75" customWidth="1"/>
    <col min="6" max="6" width="15.375" customWidth="1"/>
    <col min="7" max="7" width="10.375" bestFit="1" customWidth="1"/>
    <col min="8" max="8" width="11.875" customWidth="1"/>
  </cols>
  <sheetData>
    <row r="1" spans="1:8" x14ac:dyDescent="0.25">
      <c r="A1" s="37" t="s">
        <v>5</v>
      </c>
      <c r="B1" s="37" t="s">
        <v>6</v>
      </c>
      <c r="C1" s="37" t="s">
        <v>31</v>
      </c>
      <c r="D1" s="39" t="s">
        <v>30</v>
      </c>
      <c r="E1" s="37" t="s">
        <v>2</v>
      </c>
      <c r="F1" s="37" t="s">
        <v>8</v>
      </c>
      <c r="G1" s="36" t="s">
        <v>7</v>
      </c>
      <c r="H1" s="36" t="s">
        <v>20</v>
      </c>
    </row>
    <row r="2" spans="1:8" x14ac:dyDescent="0.25">
      <c r="A2" s="38">
        <v>1</v>
      </c>
      <c r="B2" s="40" t="s">
        <v>11</v>
      </c>
      <c r="C2" s="38">
        <v>1</v>
      </c>
      <c r="D2" s="3" t="str">
        <f>IF(ISNA(VLOOKUP(C2,Client!A:B,2,FALSE)),"",VLOOKUP(C2,Client!A:B,2))</f>
        <v>Alpha Client</v>
      </c>
      <c r="E2" s="42">
        <v>25</v>
      </c>
      <c r="F2" s="42">
        <v>1</v>
      </c>
      <c r="G2" s="2">
        <f>SUMIF(Hours!C:C,A2,Hours!B:B)</f>
        <v>11</v>
      </c>
      <c r="H2" s="63">
        <f>IF(AND(F2&lt;&gt;0,ISNUMBER(F2)),G2/F2,"No Estimate")</f>
        <v>11</v>
      </c>
    </row>
    <row r="3" spans="1:8" x14ac:dyDescent="0.25">
      <c r="A3" s="38">
        <v>2</v>
      </c>
      <c r="B3" s="40" t="s">
        <v>12</v>
      </c>
      <c r="C3" s="38">
        <v>2</v>
      </c>
      <c r="D3" s="3" t="str">
        <f>IF(ISNA(VLOOKUP(C3,Client!A:B,2,FALSE)),"",VLOOKUP(C3,Client!A:B,2))</f>
        <v>Beta Client</v>
      </c>
      <c r="E3" s="42">
        <v>30</v>
      </c>
      <c r="F3" s="42">
        <v>50</v>
      </c>
      <c r="G3" s="2">
        <f>SUMIF(Hours!C:C,A3,Hours!B:B)</f>
        <v>2</v>
      </c>
      <c r="H3" s="35">
        <f t="shared" ref="H3:H4" si="0">G3/F3</f>
        <v>0.04</v>
      </c>
    </row>
    <row r="4" spans="1:8" x14ac:dyDescent="0.25">
      <c r="A4" s="38">
        <v>3</v>
      </c>
      <c r="B4" s="40" t="s">
        <v>13</v>
      </c>
      <c r="C4" s="38">
        <v>3</v>
      </c>
      <c r="D4" s="3" t="str">
        <f>IF(ISNA(VLOOKUP(C4,Client!A:B,2,FALSE)),"No Client",VLOOKUP(C4,Client!A:B,2))</f>
        <v>No Client</v>
      </c>
      <c r="E4" s="42">
        <v>40</v>
      </c>
      <c r="F4" s="42">
        <v>15</v>
      </c>
      <c r="G4" s="2">
        <f>SUMIF(Hours!C:C,A4,Hours!B:B)</f>
        <v>2</v>
      </c>
      <c r="H4" s="35">
        <f t="shared" si="0"/>
        <v>0.13333333333333333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3"/>
  <sheetViews>
    <sheetView workbookViewId="0">
      <selection activeCell="D10" sqref="D10"/>
    </sheetView>
  </sheetViews>
  <sheetFormatPr baseColWidth="10" defaultRowHeight="21" x14ac:dyDescent="0.25"/>
  <cols>
    <col min="2" max="2" width="12.875" customWidth="1"/>
  </cols>
  <sheetData>
    <row r="1" spans="1:2" x14ac:dyDescent="0.25">
      <c r="A1" s="37" t="s">
        <v>31</v>
      </c>
      <c r="B1" s="37" t="s">
        <v>30</v>
      </c>
    </row>
    <row r="2" spans="1:2" x14ac:dyDescent="0.25">
      <c r="A2" s="38">
        <v>1</v>
      </c>
      <c r="B2" s="38" t="s">
        <v>32</v>
      </c>
    </row>
    <row r="3" spans="1:2" x14ac:dyDescent="0.25">
      <c r="A3" s="38">
        <v>2</v>
      </c>
      <c r="B3" s="3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Hours</vt:lpstr>
      <vt:lpstr>Invoice</vt:lpstr>
      <vt:lpstr>Projects</vt:lpstr>
      <vt:lpstr>Client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2016-01-04T15:32:37Z</dcterms:created>
  <dcterms:modified xsi:type="dcterms:W3CDTF">2016-01-13T23:24:57Z</dcterms:modified>
</cp:coreProperties>
</file>